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odafone-my.sharepoint.com/personal/ricardo_rothenberger_vodafone_com/Documents/Dokumente/"/>
    </mc:Choice>
  </mc:AlternateContent>
  <xr:revisionPtr revIDLastSave="341" documentId="8_{FA4AABDD-0653-413E-AAB9-A4BF8E692BE4}" xr6:coauthVersionLast="47" xr6:coauthVersionMax="47" xr10:uidLastSave="{E9AF2159-7766-4B5B-957D-72F802594E07}"/>
  <bookViews>
    <workbookView minimized="1" xWindow="5070" yWindow="2445" windowWidth="21600" windowHeight="12645" xr2:uid="{710DD469-522E-4CB8-ACF0-37B8825FC488}"/>
  </bookViews>
  <sheets>
    <sheet name="VKD" sheetId="1" r:id="rId1"/>
    <sheet name="UM" sheetId="3" r:id="rId2"/>
    <sheet name="Tabelle2" sheetId="2" r:id="rId3"/>
  </sheets>
  <definedNames>
    <definedName name="_xlnm._FilterDatabase" localSheetId="1" hidden="1">UM!$B$1:$E$1</definedName>
    <definedName name="_xlnm._FilterDatabase" localSheetId="0" hidden="1">VKD!$B$1:$E$30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" i="3" l="1"/>
  <c r="D27" i="3"/>
  <c r="D28" i="3"/>
  <c r="D26" i="3"/>
  <c r="C26" i="3"/>
  <c r="C8" i="3"/>
  <c r="F8" i="3"/>
  <c r="D8" i="3"/>
  <c r="D29" i="3"/>
  <c r="C29" i="3"/>
  <c r="F7" i="3"/>
  <c r="F6" i="3"/>
  <c r="F5" i="3"/>
  <c r="F3" i="3"/>
  <c r="F2" i="3"/>
  <c r="B3" i="3"/>
  <c r="B2" i="3"/>
</calcChain>
</file>

<file path=xl/sharedStrings.xml><?xml version="1.0" encoding="utf-8"?>
<sst xmlns="http://schemas.openxmlformats.org/spreadsheetml/2006/main" count="271" uniqueCount="125">
  <si>
    <t>Region</t>
  </si>
  <si>
    <t>OBJ_REGION</t>
  </si>
  <si>
    <t>V_VMBKT_ADS_ALM</t>
  </si>
  <si>
    <t>R04</t>
  </si>
  <si>
    <t>Property</t>
  </si>
  <si>
    <t>Objekt</t>
  </si>
  <si>
    <t>A_WSF</t>
  </si>
  <si>
    <t>VH_VMBKT_OBJEKT</t>
  </si>
  <si>
    <t>VH_VMBKT_OBJEKT_CMP</t>
  </si>
  <si>
    <t>V_EXT_VMBKT_OBJEKT</t>
  </si>
  <si>
    <t>TH_VMBKT_OBJEKT</t>
  </si>
  <si>
    <t>TA_VMBKT_OBJEKT</t>
  </si>
  <si>
    <t>TA_EXT_VMBKT_OBJEKT</t>
  </si>
  <si>
    <t>O2</t>
  </si>
  <si>
    <t>KAI_WOR_VFW</t>
  </si>
  <si>
    <r>
      <t>V_VMBKT_ADS_ALM</t>
    </r>
    <r>
      <rPr>
        <sz val="11"/>
        <color rgb="FF000000"/>
        <rFont val="Aptos Narrow"/>
        <family val="2"/>
        <scheme val="minor"/>
      </rPr>
      <t xml:space="preserve"> </t>
    </r>
  </si>
  <si>
    <t>BewohnerPlus</t>
  </si>
  <si>
    <t>OXG</t>
  </si>
  <si>
    <t>SelfInstall</t>
  </si>
  <si>
    <t>direkt Versorgt</t>
  </si>
  <si>
    <t>maxWE</t>
  </si>
  <si>
    <t>DS Datenrate</t>
  </si>
  <si>
    <t>US Datenrate</t>
  </si>
  <si>
    <t>DOCSIS</t>
  </si>
  <si>
    <t>ABK</t>
  </si>
  <si>
    <t>FTTB</t>
  </si>
  <si>
    <t>B</t>
  </si>
  <si>
    <t>KAA_WORKFLOW</t>
  </si>
  <si>
    <t>KAD_WORKFLOW</t>
  </si>
  <si>
    <t>KAA_TV</t>
  </si>
  <si>
    <t>KAD_TV</t>
  </si>
  <si>
    <t>KAI_TV</t>
  </si>
  <si>
    <t>KAI_WORKFLOW</t>
  </si>
  <si>
    <t>SEL_TV</t>
  </si>
  <si>
    <t>N</t>
  </si>
  <si>
    <t>OBJ_VERSORGUNGSART</t>
  </si>
  <si>
    <t>D</t>
  </si>
  <si>
    <t>OBJ_MAX_WE</t>
  </si>
  <si>
    <t>DTR_MAMAS</t>
  </si>
  <si>
    <t>UTR_MAMAS</t>
  </si>
  <si>
    <t>A_DOCSIS</t>
  </si>
  <si>
    <t>A_ABK_FLAG</t>
  </si>
  <si>
    <t>A_FIBER_COAX_FLAG</t>
  </si>
  <si>
    <t>J</t>
  </si>
  <si>
    <t>TV3</t>
  </si>
  <si>
    <t>ÜP-Zustand</t>
  </si>
  <si>
    <t>Vertragsnummer</t>
  </si>
  <si>
    <t>Kundennummer</t>
  </si>
  <si>
    <t>Gestattungsvertrag</t>
  </si>
  <si>
    <t>OBJ_UEP_ZUSTAND</t>
  </si>
  <si>
    <t>CONTRACT_NUMBER</t>
  </si>
  <si>
    <t>ACCOUNT_NUMBER</t>
  </si>
  <si>
    <t>A_CCB1</t>
  </si>
  <si>
    <t>Salessegment</t>
  </si>
  <si>
    <t>Vertragscode</t>
  </si>
  <si>
    <t>Anschlussvertrag</t>
  </si>
  <si>
    <t>VWZ_VERTRIEBSSEGMENT</t>
  </si>
  <si>
    <t>CONTRACT_CODE and CONTRACT_STATUS = ‘AK’</t>
  </si>
  <si>
    <t>A_CCB2</t>
  </si>
  <si>
    <t>OBJ_ORG</t>
  </si>
  <si>
    <t>V_VMBKT_UM_ADS_ALM</t>
  </si>
  <si>
    <t>o2</t>
  </si>
  <si>
    <t>Selfinstall</t>
  </si>
  <si>
    <t>max WE</t>
  </si>
  <si>
    <t>Docsis</t>
  </si>
  <si>
    <t>NE4 Status</t>
  </si>
  <si>
    <t>ÜP Zustand</t>
  </si>
  <si>
    <t>OBJ_SEL_VERFUEGBAR</t>
  </si>
  <si>
    <t>A</t>
  </si>
  <si>
    <t>I</t>
  </si>
  <si>
    <t>TA_VMBKT_UM_DELPHI</t>
  </si>
  <si>
    <t>OBJ_NE4_STATUS</t>
  </si>
  <si>
    <t>OBJ_ABK_FLAG</t>
  </si>
  <si>
    <t>OBJ_FIBER_COAX_FLAG</t>
  </si>
  <si>
    <t>KV</t>
  </si>
  <si>
    <t>C</t>
  </si>
  <si>
    <t>OXG Fiber</t>
  </si>
  <si>
    <t>Parameter GUI</t>
  </si>
  <si>
    <t>DB Property</t>
  </si>
  <si>
    <t>DB Objekt</t>
  </si>
  <si>
    <t>Beispiel Daten</t>
  </si>
  <si>
    <t>Panel GUI</t>
  </si>
  <si>
    <t>Grundeinstellung</t>
  </si>
  <si>
    <t>Workflow</t>
  </si>
  <si>
    <t>KAA</t>
  </si>
  <si>
    <t>KAD</t>
  </si>
  <si>
    <t>KAI</t>
  </si>
  <si>
    <t>Technische Parameter</t>
  </si>
  <si>
    <t>Technische Verfügbarkeit</t>
  </si>
  <si>
    <t>Vertragssituation</t>
  </si>
  <si>
    <t>Umgebung</t>
  </si>
  <si>
    <t>Footprint</t>
  </si>
  <si>
    <t>Bemerkung</t>
  </si>
  <si>
    <t>Anzahl Ergebnisse</t>
  </si>
  <si>
    <t>Wie viele Ergebnisse sollen ausgegeben werden</t>
  </si>
  <si>
    <t>welche Testumgebung, zur Ermittlung der DB URL</t>
  </si>
  <si>
    <t>Je nach Footprint, andere Backend-Logik</t>
  </si>
  <si>
    <t>wenn Flag gesetzt ist, dann Panel "BewohnerPlus" einblenden. Flags O2 und OXG Fiber inaktiv schalten.</t>
  </si>
  <si>
    <t>wenn Flag gesetzt ist, dann Checkboxen O2 und BewohnerPlus inaktiv schalten.</t>
  </si>
  <si>
    <t>es können mehrere Regionen ausgewählt werden. Das muss bei DB-Abfrage berücksichtigt werden.</t>
  </si>
  <si>
    <t>mehrere Vertragscodes auswählbar. Dies muss bei DB-Abfrage berücksichtigt werden.</t>
  </si>
  <si>
    <t>Wenn Flag gesetzt ist, dann Checkboxen BewohnerPlus, OXG Fiber inaktiv schalten. Im Panel Workflow nur KAI.</t>
  </si>
  <si>
    <t>andere Regionen als bei Footprint "Vodafone Kabel"</t>
  </si>
  <si>
    <t>Vertrassituation</t>
  </si>
  <si>
    <t>GS2 Element</t>
  </si>
  <si>
    <t>DB Select wie bisher</t>
  </si>
  <si>
    <t>OBJ_GS2</t>
  </si>
  <si>
    <t>VF AdresseID</t>
  </si>
  <si>
    <t>Adresse</t>
  </si>
  <si>
    <t>ONKZ</t>
  </si>
  <si>
    <t>Ergebnisliste</t>
  </si>
  <si>
    <t>UM AdresseID</t>
  </si>
  <si>
    <t>PLZ</t>
  </si>
  <si>
    <t>neues Suchfeld</t>
  </si>
  <si>
    <t>ads.ta_adresse</t>
  </si>
  <si>
    <t>A_SERVICEADRESSE = 'J' and A_V_PLZ_SUCH = %PLZ%</t>
  </si>
  <si>
    <r>
      <t>NE4.V_VMBKT_ADS_ALM</t>
    </r>
    <r>
      <rPr>
        <sz val="11"/>
        <color rgb="FF000000"/>
        <rFont val="Aptos Narrow"/>
        <family val="2"/>
        <scheme val="minor"/>
      </rPr>
      <t xml:space="preserve"> </t>
    </r>
  </si>
  <si>
    <t>NE4.TA_VMBKT_OBJEKT</t>
  </si>
  <si>
    <t>NE4.V_WIZ_CUSTOMER_CONTRACTS</t>
  </si>
  <si>
    <t>NE4.V_VERMARKTBARKEIT_OBJEKT</t>
  </si>
  <si>
    <t>ADS.TA_ADRESSE</t>
  </si>
  <si>
    <t>A_Adresse_ID</t>
  </si>
  <si>
    <t xml:space="preserve"> A_PLZ || ' ' || A_ORTSNAME || ', ' || A_STRNAME || ' ' || A_HAUSNR || ' ' || A_HAUSNR_ZUS</t>
  </si>
  <si>
    <t>A_REF_TELEFONIE_ONKZ</t>
  </si>
  <si>
    <t>A_UM_GEBAEUDE_ID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</si>
</sst>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4" fillId="0" borderId="0" xfId="0" applyFont="1" applyAlignment="1">
      <alignment vertical="center"/>
    </xf>
    <xf numFmtId="0" fontId="0" fillId="2" borderId="0" xfId="0" applyFill="1"/>
    <xf numFmtId="0" fontId="0" fillId="3" borderId="0" xfId="0" applyFill="1"/>
    <xf numFmtId="0" fontId="3" fillId="3" borderId="0" xfId="0" applyFont="1" applyFill="1"/>
    <xf numFmtId="0" fontId="0" fillId="4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57B3A-9F91-46B9-A940-94AF1AD187AF}">
  <dimension ref="A1:F36"/>
  <sheetViews>
    <sheetView tabSelected="1" workbookViewId="0">
      <selection activeCell="D14" sqref="D14"/>
    </sheetView>
  </sheetViews>
  <sheetFormatPr baseColWidth="10" defaultRowHeight="15" x14ac:dyDescent="0.25"/>
  <cols>
    <col min="1" max="1" width="23.42578125" bestFit="1" customWidth="1"/>
    <col min="2" max="2" width="17.5703125" bestFit="1" customWidth="1"/>
    <col min="3" max="3" width="75.28515625" bestFit="1" customWidth="1"/>
    <col min="4" max="4" width="39.28515625" bestFit="1" customWidth="1"/>
    <col min="5" max="5" width="14.140625" bestFit="1" customWidth="1"/>
    <col min="6" max="6" width="93.28515625" bestFit="1" customWidth="1"/>
  </cols>
  <sheetData>
    <row r="1" spans="1:6" s="3" customFormat="1" x14ac:dyDescent="0.25">
      <c r="A1" s="3" t="s">
        <v>81</v>
      </c>
      <c r="B1" s="3" t="s">
        <v>77</v>
      </c>
      <c r="C1" s="3" t="s">
        <v>78</v>
      </c>
      <c r="D1" s="3" t="s">
        <v>79</v>
      </c>
      <c r="E1" s="3" t="s">
        <v>80</v>
      </c>
      <c r="F1" s="3" t="s">
        <v>92</v>
      </c>
    </row>
    <row r="2" spans="1:6" s="3" customFormat="1" x14ac:dyDescent="0.25">
      <c r="A2" t="s">
        <v>82</v>
      </c>
      <c r="B2" t="s">
        <v>90</v>
      </c>
      <c r="F2" t="s">
        <v>95</v>
      </c>
    </row>
    <row r="3" spans="1:6" s="3" customFormat="1" x14ac:dyDescent="0.25">
      <c r="A3" t="s">
        <v>82</v>
      </c>
      <c r="B3" t="s">
        <v>91</v>
      </c>
      <c r="F3" t="s">
        <v>96</v>
      </c>
    </row>
    <row r="4" spans="1:6" s="3" customFormat="1" x14ac:dyDescent="0.25">
      <c r="A4" t="s">
        <v>82</v>
      </c>
      <c r="B4" t="s">
        <v>93</v>
      </c>
      <c r="F4" t="s">
        <v>94</v>
      </c>
    </row>
    <row r="5" spans="1:6" x14ac:dyDescent="0.25">
      <c r="A5" t="s">
        <v>82</v>
      </c>
      <c r="B5" t="s">
        <v>0</v>
      </c>
      <c r="C5" t="s">
        <v>1</v>
      </c>
      <c r="D5" t="s">
        <v>2</v>
      </c>
      <c r="E5" t="s">
        <v>3</v>
      </c>
      <c r="F5" t="s">
        <v>99</v>
      </c>
    </row>
    <row r="6" spans="1:6" x14ac:dyDescent="0.25">
      <c r="A6" t="s">
        <v>82</v>
      </c>
      <c r="B6" t="s">
        <v>13</v>
      </c>
      <c r="C6" s="1" t="s">
        <v>14</v>
      </c>
      <c r="D6" s="2" t="s">
        <v>15</v>
      </c>
      <c r="E6" t="s">
        <v>26</v>
      </c>
      <c r="F6" t="s">
        <v>101</v>
      </c>
    </row>
    <row r="7" spans="1:6" x14ac:dyDescent="0.25">
      <c r="A7" t="s">
        <v>82</v>
      </c>
      <c r="B7" t="s">
        <v>16</v>
      </c>
      <c r="F7" t="s">
        <v>97</v>
      </c>
    </row>
    <row r="8" spans="1:6" x14ac:dyDescent="0.25">
      <c r="A8" t="s">
        <v>82</v>
      </c>
      <c r="B8" t="s">
        <v>76</v>
      </c>
      <c r="F8" t="s">
        <v>98</v>
      </c>
    </row>
    <row r="9" spans="1:6" x14ac:dyDescent="0.25">
      <c r="A9" t="s">
        <v>82</v>
      </c>
      <c r="B9" s="8" t="s">
        <v>112</v>
      </c>
      <c r="C9" s="6" t="s">
        <v>115</v>
      </c>
      <c r="D9" s="7" t="s">
        <v>114</v>
      </c>
      <c r="F9" t="s">
        <v>113</v>
      </c>
    </row>
    <row r="10" spans="1:6" x14ac:dyDescent="0.25">
      <c r="A10" t="s">
        <v>83</v>
      </c>
      <c r="B10" t="s">
        <v>84</v>
      </c>
      <c r="C10" s="1" t="s">
        <v>27</v>
      </c>
      <c r="D10" s="2" t="s">
        <v>116</v>
      </c>
      <c r="E10" t="s">
        <v>26</v>
      </c>
    </row>
    <row r="11" spans="1:6" x14ac:dyDescent="0.25">
      <c r="A11" t="s">
        <v>83</v>
      </c>
      <c r="B11" t="s">
        <v>85</v>
      </c>
      <c r="C11" s="1" t="s">
        <v>28</v>
      </c>
      <c r="D11" s="2" t="s">
        <v>116</v>
      </c>
      <c r="E11" t="s">
        <v>26</v>
      </c>
    </row>
    <row r="12" spans="1:6" x14ac:dyDescent="0.25">
      <c r="A12" t="s">
        <v>83</v>
      </c>
      <c r="B12" t="s">
        <v>86</v>
      </c>
      <c r="C12" s="1" t="s">
        <v>32</v>
      </c>
      <c r="D12" s="2" t="s">
        <v>116</v>
      </c>
      <c r="E12" t="s">
        <v>26</v>
      </c>
    </row>
    <row r="13" spans="1:6" x14ac:dyDescent="0.25">
      <c r="A13" t="s">
        <v>87</v>
      </c>
      <c r="B13" t="s">
        <v>18</v>
      </c>
      <c r="C13" s="1" t="s">
        <v>33</v>
      </c>
      <c r="D13" s="2" t="s">
        <v>116</v>
      </c>
      <c r="E13" t="s">
        <v>34</v>
      </c>
    </row>
    <row r="14" spans="1:6" x14ac:dyDescent="0.25">
      <c r="A14" t="s">
        <v>87</v>
      </c>
      <c r="B14" t="s">
        <v>19</v>
      </c>
      <c r="C14" t="s">
        <v>35</v>
      </c>
      <c r="D14" s="2" t="s">
        <v>116</v>
      </c>
      <c r="E14" t="s">
        <v>36</v>
      </c>
    </row>
    <row r="15" spans="1:6" x14ac:dyDescent="0.25">
      <c r="A15" t="s">
        <v>87</v>
      </c>
      <c r="B15" t="s">
        <v>20</v>
      </c>
      <c r="C15" t="s">
        <v>37</v>
      </c>
      <c r="D15" s="2" t="s">
        <v>116</v>
      </c>
      <c r="E15">
        <v>1</v>
      </c>
    </row>
    <row r="16" spans="1:6" x14ac:dyDescent="0.25">
      <c r="A16" t="s">
        <v>87</v>
      </c>
      <c r="B16" t="s">
        <v>21</v>
      </c>
      <c r="C16" t="s">
        <v>38</v>
      </c>
      <c r="D16" s="2" t="s">
        <v>116</v>
      </c>
      <c r="E16">
        <v>1000</v>
      </c>
    </row>
    <row r="17" spans="1:6" x14ac:dyDescent="0.25">
      <c r="A17" t="s">
        <v>87</v>
      </c>
      <c r="B17" t="s">
        <v>22</v>
      </c>
      <c r="C17" t="s">
        <v>39</v>
      </c>
      <c r="D17" s="2" t="s">
        <v>116</v>
      </c>
      <c r="E17">
        <v>50</v>
      </c>
    </row>
    <row r="18" spans="1:6" x14ac:dyDescent="0.25">
      <c r="A18" t="s">
        <v>87</v>
      </c>
      <c r="B18" t="s">
        <v>23</v>
      </c>
      <c r="C18" t="s">
        <v>40</v>
      </c>
      <c r="D18" t="s">
        <v>117</v>
      </c>
    </row>
    <row r="19" spans="1:6" x14ac:dyDescent="0.25">
      <c r="A19" t="s">
        <v>87</v>
      </c>
      <c r="B19" t="s">
        <v>24</v>
      </c>
      <c r="C19" t="s">
        <v>41</v>
      </c>
      <c r="D19" t="s">
        <v>117</v>
      </c>
    </row>
    <row r="20" spans="1:6" x14ac:dyDescent="0.25">
      <c r="A20" t="s">
        <v>87</v>
      </c>
      <c r="B20" t="s">
        <v>25</v>
      </c>
      <c r="C20" t="s">
        <v>42</v>
      </c>
      <c r="D20" t="s">
        <v>117</v>
      </c>
    </row>
    <row r="21" spans="1:6" x14ac:dyDescent="0.25">
      <c r="A21" t="s">
        <v>88</v>
      </c>
      <c r="B21" t="s">
        <v>84</v>
      </c>
      <c r="C21" t="s">
        <v>29</v>
      </c>
      <c r="D21" s="2" t="s">
        <v>116</v>
      </c>
      <c r="E21" t="s">
        <v>43</v>
      </c>
    </row>
    <row r="22" spans="1:6" x14ac:dyDescent="0.25">
      <c r="A22" t="s">
        <v>88</v>
      </c>
      <c r="B22" t="s">
        <v>85</v>
      </c>
      <c r="C22" t="s">
        <v>30</v>
      </c>
      <c r="D22" s="2" t="s">
        <v>116</v>
      </c>
      <c r="E22" t="s">
        <v>43</v>
      </c>
    </row>
    <row r="23" spans="1:6" x14ac:dyDescent="0.25">
      <c r="A23" t="s">
        <v>88</v>
      </c>
      <c r="B23" t="s">
        <v>86</v>
      </c>
      <c r="C23" t="s">
        <v>31</v>
      </c>
      <c r="D23" s="2" t="s">
        <v>116</v>
      </c>
      <c r="E23" t="s">
        <v>44</v>
      </c>
    </row>
    <row r="24" spans="1:6" x14ac:dyDescent="0.25">
      <c r="A24" t="s">
        <v>88</v>
      </c>
      <c r="B24" t="s">
        <v>45</v>
      </c>
      <c r="C24" t="s">
        <v>49</v>
      </c>
      <c r="D24" s="2" t="s">
        <v>116</v>
      </c>
      <c r="E24">
        <v>4</v>
      </c>
    </row>
    <row r="25" spans="1:6" x14ac:dyDescent="0.25">
      <c r="A25" t="s">
        <v>89</v>
      </c>
      <c r="B25" t="s">
        <v>46</v>
      </c>
      <c r="C25" t="s">
        <v>50</v>
      </c>
      <c r="D25" t="s">
        <v>118</v>
      </c>
    </row>
    <row r="26" spans="1:6" x14ac:dyDescent="0.25">
      <c r="A26" t="s">
        <v>89</v>
      </c>
      <c r="B26" t="s">
        <v>47</v>
      </c>
      <c r="C26" t="s">
        <v>51</v>
      </c>
      <c r="D26" t="s">
        <v>118</v>
      </c>
    </row>
    <row r="27" spans="1:6" x14ac:dyDescent="0.25">
      <c r="A27" t="s">
        <v>89</v>
      </c>
      <c r="B27" t="s">
        <v>48</v>
      </c>
      <c r="C27" t="s">
        <v>52</v>
      </c>
      <c r="D27" t="s">
        <v>119</v>
      </c>
    </row>
    <row r="28" spans="1:6" x14ac:dyDescent="0.25">
      <c r="A28" t="s">
        <v>89</v>
      </c>
      <c r="B28" t="s">
        <v>53</v>
      </c>
      <c r="C28" t="s">
        <v>56</v>
      </c>
      <c r="D28" s="2" t="s">
        <v>116</v>
      </c>
    </row>
    <row r="29" spans="1:6" x14ac:dyDescent="0.25">
      <c r="A29" t="s">
        <v>89</v>
      </c>
      <c r="B29" t="s">
        <v>54</v>
      </c>
      <c r="C29" t="s">
        <v>57</v>
      </c>
      <c r="D29" t="s">
        <v>118</v>
      </c>
      <c r="F29" t="s">
        <v>100</v>
      </c>
    </row>
    <row r="30" spans="1:6" x14ac:dyDescent="0.25">
      <c r="A30" t="s">
        <v>89</v>
      </c>
      <c r="B30" t="s">
        <v>55</v>
      </c>
      <c r="C30" t="s">
        <v>58</v>
      </c>
      <c r="D30" t="s">
        <v>119</v>
      </c>
    </row>
    <row r="31" spans="1:6" x14ac:dyDescent="0.25">
      <c r="A31" t="s">
        <v>16</v>
      </c>
      <c r="B31" t="s">
        <v>84</v>
      </c>
      <c r="F31" t="s">
        <v>105</v>
      </c>
    </row>
    <row r="32" spans="1:6" x14ac:dyDescent="0.25">
      <c r="A32" t="s">
        <v>16</v>
      </c>
      <c r="B32" t="s">
        <v>85</v>
      </c>
      <c r="F32" t="s">
        <v>105</v>
      </c>
    </row>
    <row r="33" spans="1:6" x14ac:dyDescent="0.25">
      <c r="A33" t="s">
        <v>16</v>
      </c>
      <c r="B33" t="s">
        <v>86</v>
      </c>
      <c r="F33" t="s">
        <v>105</v>
      </c>
    </row>
    <row r="34" spans="1:6" x14ac:dyDescent="0.25">
      <c r="A34" t="s">
        <v>110</v>
      </c>
      <c r="B34" t="s">
        <v>107</v>
      </c>
      <c r="C34" t="s">
        <v>121</v>
      </c>
      <c r="D34" s="2" t="s">
        <v>120</v>
      </c>
    </row>
    <row r="35" spans="1:6" x14ac:dyDescent="0.25">
      <c r="A35" t="s">
        <v>110</v>
      </c>
      <c r="B35" t="s">
        <v>108</v>
      </c>
      <c r="C35" t="s">
        <v>122</v>
      </c>
      <c r="D35" s="2" t="s">
        <v>120</v>
      </c>
    </row>
    <row r="36" spans="1:6" x14ac:dyDescent="0.25">
      <c r="A36" t="s">
        <v>110</v>
      </c>
      <c r="B36" t="s">
        <v>109</v>
      </c>
      <c r="C36" t="s">
        <v>123</v>
      </c>
      <c r="D36" s="2" t="s">
        <v>120</v>
      </c>
    </row>
  </sheetData>
  <autoFilter ref="B1:E30" xr:uid="{8C057B3A-9F91-46B9-A940-94AF1AD187AF}"/>
  <pageMargins left="0.7" right="0.7" top="0.78740157499999996" bottom="0.78740157499999996" header="0.3" footer="0.3"/>
  <pageSetup paperSize="9" orientation="portrait" r:id="rId1"/>
  <headerFooter>
    <oddFooter>&amp;L_x000D_&amp;1#&amp;"Aptos"&amp;7&amp;K000000 C2 General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AA26D-C091-4A94-B204-C93A724618BA}">
  <dimension ref="A1:F29"/>
  <sheetViews>
    <sheetView workbookViewId="0">
      <selection activeCell="C29" sqref="C29"/>
    </sheetView>
  </sheetViews>
  <sheetFormatPr baseColWidth="10" defaultRowHeight="15" x14ac:dyDescent="0.25"/>
  <cols>
    <col min="1" max="1" width="23.42578125" bestFit="1" customWidth="1"/>
    <col min="2" max="2" width="15" bestFit="1" customWidth="1"/>
    <col min="3" max="3" width="75.28515625" bestFit="1" customWidth="1"/>
    <col min="4" max="4" width="36.85546875" bestFit="1" customWidth="1"/>
    <col min="5" max="5" width="16.42578125" bestFit="1" customWidth="1"/>
    <col min="6" max="6" width="47.140625" bestFit="1" customWidth="1"/>
  </cols>
  <sheetData>
    <row r="1" spans="1:6" x14ac:dyDescent="0.25">
      <c r="A1" s="3" t="s">
        <v>81</v>
      </c>
      <c r="B1" s="3" t="s">
        <v>77</v>
      </c>
      <c r="C1" s="3" t="s">
        <v>78</v>
      </c>
      <c r="D1" s="3" t="s">
        <v>79</v>
      </c>
      <c r="E1" s="3" t="s">
        <v>80</v>
      </c>
      <c r="F1" s="3" t="s">
        <v>92</v>
      </c>
    </row>
    <row r="2" spans="1:6" x14ac:dyDescent="0.25">
      <c r="A2" t="s">
        <v>82</v>
      </c>
      <c r="B2" t="str">
        <f>VKD!B2</f>
        <v>Umgebung</v>
      </c>
      <c r="F2" t="str">
        <f>VKD!F2</f>
        <v>welche Testumgebung, zur Ermittlung der DB URL</v>
      </c>
    </row>
    <row r="3" spans="1:6" x14ac:dyDescent="0.25">
      <c r="A3" t="s">
        <v>82</v>
      </c>
      <c r="B3" t="str">
        <f>VKD!B3</f>
        <v>Footprint</v>
      </c>
      <c r="F3" t="str">
        <f>VKD!F3</f>
        <v>Je nach Footprint, andere Backend-Logik</v>
      </c>
    </row>
    <row r="4" spans="1:6" x14ac:dyDescent="0.25">
      <c r="A4" t="s">
        <v>82</v>
      </c>
      <c r="B4" t="s">
        <v>0</v>
      </c>
      <c r="C4" s="1" t="s">
        <v>59</v>
      </c>
      <c r="D4" s="2" t="s">
        <v>60</v>
      </c>
      <c r="E4">
        <v>5</v>
      </c>
      <c r="F4" t="s">
        <v>102</v>
      </c>
    </row>
    <row r="5" spans="1:6" x14ac:dyDescent="0.25">
      <c r="A5" t="s">
        <v>82</v>
      </c>
      <c r="B5" t="s">
        <v>61</v>
      </c>
      <c r="C5" s="1" t="s">
        <v>14</v>
      </c>
      <c r="D5" s="2" t="s">
        <v>60</v>
      </c>
      <c r="E5" t="s">
        <v>68</v>
      </c>
      <c r="F5" t="str">
        <f>VKD!F6</f>
        <v>Wenn Flag gesetzt ist, dann Checkboxen BewohnerPlus, OXG Fiber inaktiv schalten. Im Panel Workflow nur KAI.</v>
      </c>
    </row>
    <row r="6" spans="1:6" x14ac:dyDescent="0.25">
      <c r="A6" t="s">
        <v>82</v>
      </c>
      <c r="B6" t="s">
        <v>16</v>
      </c>
      <c r="F6" t="str">
        <f>VKD!F7</f>
        <v>wenn Flag gesetzt ist, dann Panel "BewohnerPlus" einblenden. Flags O2 und OXG Fiber inaktiv schalten.</v>
      </c>
    </row>
    <row r="7" spans="1:6" x14ac:dyDescent="0.25">
      <c r="A7" t="s">
        <v>82</v>
      </c>
      <c r="B7" t="s">
        <v>17</v>
      </c>
      <c r="F7" t="str">
        <f>VKD!F8</f>
        <v>wenn Flag gesetzt ist, dann Checkboxen O2 und BewohnerPlus inaktiv schalten.</v>
      </c>
    </row>
    <row r="8" spans="1:6" x14ac:dyDescent="0.25">
      <c r="A8" t="s">
        <v>82</v>
      </c>
      <c r="B8" s="8" t="s">
        <v>112</v>
      </c>
      <c r="C8" s="6" t="str">
        <f>VKD!C9</f>
        <v>A_SERVICEADRESSE = 'J' and A_V_PLZ_SUCH = %PLZ%</v>
      </c>
      <c r="D8" s="6" t="str">
        <f>VKD!D9</f>
        <v>ads.ta_adresse</v>
      </c>
      <c r="F8" t="str">
        <f>VKD!F9</f>
        <v>neues Suchfeld</v>
      </c>
    </row>
    <row r="9" spans="1:6" x14ac:dyDescent="0.25">
      <c r="A9" t="s">
        <v>83</v>
      </c>
      <c r="B9" t="s">
        <v>84</v>
      </c>
      <c r="C9" s="1" t="s">
        <v>27</v>
      </c>
      <c r="D9" s="2" t="s">
        <v>60</v>
      </c>
      <c r="E9" t="s">
        <v>68</v>
      </c>
    </row>
    <row r="10" spans="1:6" x14ac:dyDescent="0.25">
      <c r="A10" t="s">
        <v>83</v>
      </c>
      <c r="B10" t="s">
        <v>85</v>
      </c>
      <c r="C10" s="1" t="s">
        <v>28</v>
      </c>
      <c r="D10" s="2" t="s">
        <v>60</v>
      </c>
      <c r="E10" t="s">
        <v>68</v>
      </c>
    </row>
    <row r="11" spans="1:6" x14ac:dyDescent="0.25">
      <c r="A11" t="s">
        <v>83</v>
      </c>
      <c r="B11" t="s">
        <v>86</v>
      </c>
      <c r="C11" s="1" t="s">
        <v>32</v>
      </c>
      <c r="D11" s="2" t="s">
        <v>60</v>
      </c>
      <c r="E11" t="s">
        <v>69</v>
      </c>
    </row>
    <row r="12" spans="1:6" x14ac:dyDescent="0.25">
      <c r="A12" t="s">
        <v>87</v>
      </c>
      <c r="B12" t="s">
        <v>62</v>
      </c>
      <c r="C12" s="1" t="s">
        <v>67</v>
      </c>
      <c r="D12" s="2" t="s">
        <v>60</v>
      </c>
      <c r="E12" t="s">
        <v>34</v>
      </c>
    </row>
    <row r="13" spans="1:6" x14ac:dyDescent="0.25">
      <c r="A13" t="s">
        <v>87</v>
      </c>
      <c r="B13" t="s">
        <v>63</v>
      </c>
      <c r="C13" s="1" t="s">
        <v>37</v>
      </c>
      <c r="D13" s="2" t="s">
        <v>60</v>
      </c>
      <c r="E13">
        <v>1</v>
      </c>
    </row>
    <row r="14" spans="1:6" x14ac:dyDescent="0.25">
      <c r="A14" t="s">
        <v>87</v>
      </c>
      <c r="B14" t="s">
        <v>21</v>
      </c>
      <c r="C14" s="1" t="s">
        <v>38</v>
      </c>
      <c r="D14" s="2" t="s">
        <v>60</v>
      </c>
      <c r="E14">
        <v>1000</v>
      </c>
    </row>
    <row r="15" spans="1:6" x14ac:dyDescent="0.25">
      <c r="A15" t="s">
        <v>87</v>
      </c>
      <c r="B15" t="s">
        <v>22</v>
      </c>
      <c r="C15" s="1" t="s">
        <v>39</v>
      </c>
      <c r="D15" s="2" t="s">
        <v>60</v>
      </c>
      <c r="E15">
        <v>60</v>
      </c>
    </row>
    <row r="16" spans="1:6" x14ac:dyDescent="0.25">
      <c r="A16" t="s">
        <v>87</v>
      </c>
      <c r="B16" t="s">
        <v>64</v>
      </c>
      <c r="C16" s="2" t="s">
        <v>40</v>
      </c>
      <c r="D16" s="2" t="s">
        <v>70</v>
      </c>
    </row>
    <row r="17" spans="1:6" x14ac:dyDescent="0.25">
      <c r="A17" t="s">
        <v>87</v>
      </c>
      <c r="B17" t="s">
        <v>65</v>
      </c>
      <c r="C17" s="1" t="s">
        <v>71</v>
      </c>
      <c r="D17" s="2" t="s">
        <v>60</v>
      </c>
      <c r="E17" t="s">
        <v>68</v>
      </c>
    </row>
    <row r="18" spans="1:6" x14ac:dyDescent="0.25">
      <c r="A18" t="s">
        <v>87</v>
      </c>
      <c r="B18" t="s">
        <v>24</v>
      </c>
      <c r="C18" s="1" t="s">
        <v>72</v>
      </c>
      <c r="D18" s="2" t="s">
        <v>60</v>
      </c>
      <c r="E18" t="s">
        <v>34</v>
      </c>
    </row>
    <row r="19" spans="1:6" x14ac:dyDescent="0.25">
      <c r="A19" t="s">
        <v>87</v>
      </c>
      <c r="B19" t="s">
        <v>25</v>
      </c>
      <c r="C19" s="1" t="s">
        <v>73</v>
      </c>
      <c r="D19" s="2" t="s">
        <v>60</v>
      </c>
      <c r="E19" t="s">
        <v>75</v>
      </c>
    </row>
    <row r="20" spans="1:6" x14ac:dyDescent="0.25">
      <c r="A20" t="s">
        <v>88</v>
      </c>
      <c r="B20" t="s">
        <v>84</v>
      </c>
      <c r="C20" s="4" t="s">
        <v>29</v>
      </c>
      <c r="D20" s="2" t="s">
        <v>60</v>
      </c>
      <c r="E20" t="s">
        <v>74</v>
      </c>
    </row>
    <row r="21" spans="1:6" x14ac:dyDescent="0.25">
      <c r="A21" t="s">
        <v>88</v>
      </c>
      <c r="B21" t="s">
        <v>85</v>
      </c>
      <c r="C21" s="4" t="s">
        <v>30</v>
      </c>
      <c r="D21" s="2" t="s">
        <v>60</v>
      </c>
      <c r="E21" t="s">
        <v>74</v>
      </c>
    </row>
    <row r="22" spans="1:6" x14ac:dyDescent="0.25">
      <c r="A22" t="s">
        <v>88</v>
      </c>
      <c r="B22" t="s">
        <v>86</v>
      </c>
      <c r="C22" s="4" t="s">
        <v>31</v>
      </c>
      <c r="D22" s="2" t="s">
        <v>60</v>
      </c>
      <c r="E22" t="s">
        <v>74</v>
      </c>
    </row>
    <row r="23" spans="1:6" x14ac:dyDescent="0.25">
      <c r="A23" t="s">
        <v>88</v>
      </c>
      <c r="B23" t="s">
        <v>66</v>
      </c>
      <c r="C23" s="1" t="s">
        <v>49</v>
      </c>
      <c r="D23" s="2" t="s">
        <v>60</v>
      </c>
      <c r="E23">
        <v>2</v>
      </c>
    </row>
    <row r="24" spans="1:6" x14ac:dyDescent="0.25">
      <c r="A24" t="s">
        <v>103</v>
      </c>
      <c r="B24" t="s">
        <v>104</v>
      </c>
      <c r="C24" s="2" t="s">
        <v>106</v>
      </c>
      <c r="D24" s="2" t="s">
        <v>60</v>
      </c>
    </row>
    <row r="25" spans="1:6" x14ac:dyDescent="0.25">
      <c r="A25" t="s">
        <v>16</v>
      </c>
      <c r="F25" t="s">
        <v>105</v>
      </c>
    </row>
    <row r="26" spans="1:6" x14ac:dyDescent="0.25">
      <c r="A26" t="s">
        <v>110</v>
      </c>
      <c r="B26" t="s">
        <v>107</v>
      </c>
      <c r="C26" t="str">
        <f>VKD!C34</f>
        <v>A_Adresse_ID</v>
      </c>
      <c r="D26" s="2" t="str">
        <f>VKD!D34</f>
        <v>ADS.TA_ADRESSE</v>
      </c>
    </row>
    <row r="27" spans="1:6" x14ac:dyDescent="0.25">
      <c r="A27" t="s">
        <v>110</v>
      </c>
      <c r="B27" t="s">
        <v>111</v>
      </c>
      <c r="C27" t="s">
        <v>124</v>
      </c>
      <c r="D27" s="2" t="str">
        <f>VKD!D35</f>
        <v>ADS.TA_ADRESSE</v>
      </c>
    </row>
    <row r="28" spans="1:6" x14ac:dyDescent="0.25">
      <c r="A28" t="s">
        <v>110</v>
      </c>
      <c r="B28" t="s">
        <v>108</v>
      </c>
      <c r="C28" t="str">
        <f>VKD!C35</f>
        <v xml:space="preserve"> A_PLZ || ' ' || A_ORTSNAME || ', ' || A_STRNAME || ' ' || A_HAUSNR || ' ' || A_HAUSNR_ZUS</v>
      </c>
      <c r="D28" s="2" t="str">
        <f>VKD!D36</f>
        <v>ADS.TA_ADRESSE</v>
      </c>
    </row>
    <row r="29" spans="1:6" x14ac:dyDescent="0.25">
      <c r="A29" t="s">
        <v>110</v>
      </c>
      <c r="B29" t="s">
        <v>109</v>
      </c>
      <c r="C29" s="5" t="str">
        <f>VKD!C36</f>
        <v>A_REF_TELEFONIE_ONKZ</v>
      </c>
      <c r="D29" s="5" t="str">
        <f>VKD!D36</f>
        <v>ADS.TA_ADRESSE</v>
      </c>
    </row>
  </sheetData>
  <autoFilter ref="B1:E1" xr:uid="{F1EAA26D-C091-4A94-B204-C93A724618BA}"/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F8F29-6259-4681-8369-946453C3627B}">
  <dimension ref="A1:C7"/>
  <sheetViews>
    <sheetView workbookViewId="0">
      <selection activeCell="C1" sqref="C1"/>
    </sheetView>
  </sheetViews>
  <sheetFormatPr baseColWidth="10" defaultRowHeight="15" x14ac:dyDescent="0.25"/>
  <cols>
    <col min="3" max="3" width="22.5703125" bestFit="1" customWidth="1"/>
  </cols>
  <sheetData>
    <row r="1" spans="1:3" x14ac:dyDescent="0.25">
      <c r="B1" t="s">
        <v>4</v>
      </c>
      <c r="C1" t="s">
        <v>5</v>
      </c>
    </row>
    <row r="2" spans="1:3" x14ac:dyDescent="0.25">
      <c r="A2" t="s">
        <v>13</v>
      </c>
      <c r="B2" t="s">
        <v>6</v>
      </c>
      <c r="C2" t="s">
        <v>7</v>
      </c>
    </row>
    <row r="3" spans="1:3" x14ac:dyDescent="0.25">
      <c r="C3" t="s">
        <v>8</v>
      </c>
    </row>
    <row r="4" spans="1:3" x14ac:dyDescent="0.25">
      <c r="C4" t="s">
        <v>9</v>
      </c>
    </row>
    <row r="5" spans="1:3" x14ac:dyDescent="0.25">
      <c r="C5" t="s">
        <v>10</v>
      </c>
    </row>
    <row r="6" spans="1:3" x14ac:dyDescent="0.25">
      <c r="C6" t="s">
        <v>11</v>
      </c>
    </row>
    <row r="7" spans="1:3" x14ac:dyDescent="0.25">
      <c r="C7" t="s">
        <v>12</v>
      </c>
    </row>
  </sheetData>
  <pageMargins left="0.7" right="0.7" top="0.78740157499999996" bottom="0.78740157499999996" header="0.3" footer="0.3"/>
  <headerFooter>
    <oddFooter>&amp;L_x000D_&amp;1#&amp;"Aptos"&amp;7&amp;K000000 C2 General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VKD</vt:lpstr>
      <vt:lpstr>UM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Rothenberger, Vodafone</dc:creator>
  <cp:lastModifiedBy>Ricardo Rothenberger, Vodafone</cp:lastModifiedBy>
  <dcterms:created xsi:type="dcterms:W3CDTF">2026-02-26T08:43:05Z</dcterms:created>
  <dcterms:modified xsi:type="dcterms:W3CDTF">2026-02-27T13:47:50Z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59f705-2ba0-454b-9cfc-6ce5bcaac040_Enabled">
    <vt:lpwstr>true</vt:lpwstr>
  </property>
  <property fmtid="{D5CDD505-2E9C-101B-9397-08002B2CF9AE}" pid="3" name="MSIP_Label_0359f705-2ba0-454b-9cfc-6ce5bcaac040_SetDate">
    <vt:lpwstr>2026-02-26T09:00:29Z</vt:lpwstr>
  </property>
  <property fmtid="{D5CDD505-2E9C-101B-9397-08002B2CF9AE}" pid="4" name="MSIP_Label_0359f705-2ba0-454b-9cfc-6ce5bcaac040_Method">
    <vt:lpwstr>Standard</vt:lpwstr>
  </property>
  <property fmtid="{D5CDD505-2E9C-101B-9397-08002B2CF9AE}" pid="5" name="MSIP_Label_0359f705-2ba0-454b-9cfc-6ce5bcaac040_Name">
    <vt:lpwstr>0359f705-2ba0-454b-9cfc-6ce5bcaac040</vt:lpwstr>
  </property>
  <property fmtid="{D5CDD505-2E9C-101B-9397-08002B2CF9AE}" pid="6" name="MSIP_Label_0359f705-2ba0-454b-9cfc-6ce5bcaac040_SiteId">
    <vt:lpwstr>68283f3b-8487-4c86-adb3-a5228f18b893</vt:lpwstr>
  </property>
  <property fmtid="{D5CDD505-2E9C-101B-9397-08002B2CF9AE}" pid="7" name="MSIP_Label_0359f705-2ba0-454b-9cfc-6ce5bcaac040_ActionId">
    <vt:lpwstr>6b970ab4-11c4-4fd6-be68-cad6606f7405</vt:lpwstr>
  </property>
  <property fmtid="{D5CDD505-2E9C-101B-9397-08002B2CF9AE}" pid="8" name="MSIP_Label_0359f705-2ba0-454b-9cfc-6ce5bcaac040_ContentBits">
    <vt:lpwstr>2</vt:lpwstr>
  </property>
  <property fmtid="{D5CDD505-2E9C-101B-9397-08002B2CF9AE}" pid="9" name="MSIP_Label_0359f705-2ba0-454b-9cfc-6ce5bcaac040_Tag">
    <vt:lpwstr>10, 3, 0, 1</vt:lpwstr>
  </property>
</Properties>
</file>